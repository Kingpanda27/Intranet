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santana\Desktop\MULTIPLIER EOR\Nominas Multiplier RD\JUnio 2026\Mensual Multiplier RD jun\"/>
    </mc:Choice>
  </mc:AlternateContent>
  <xr:revisionPtr revIDLastSave="0" documentId="13_ncr:1_{E82FF807-9D7C-41BA-9619-E915F3A4ACD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olan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8" i="1" l="1"/>
  <c r="O58" i="1"/>
  <c r="P58" i="1"/>
  <c r="K58" i="1"/>
  <c r="L58" i="1"/>
  <c r="D58" i="1"/>
  <c r="E58" i="1"/>
  <c r="F58" i="1"/>
  <c r="G58" i="1"/>
</calcChain>
</file>

<file path=xl/sharedStrings.xml><?xml version="1.0" encoding="utf-8"?>
<sst xmlns="http://schemas.openxmlformats.org/spreadsheetml/2006/main" count="183" uniqueCount="183">
  <si>
    <t>Nombre del empleado</t>
  </si>
  <si>
    <t>Cédula</t>
  </si>
  <si>
    <t>ID</t>
  </si>
  <si>
    <t>Sueldo mensual</t>
  </si>
  <si>
    <t>SFS (3.04%)</t>
  </si>
  <si>
    <t>AFP (2.87%)</t>
  </si>
  <si>
    <t>Dependientes en TSS</t>
  </si>
  <si>
    <t>Prestamos</t>
  </si>
  <si>
    <t>Otras deducciones</t>
  </si>
  <si>
    <t>Impuesto Sobre la Renta (ISR)</t>
  </si>
  <si>
    <t>Total deducciones</t>
  </si>
  <si>
    <t>Monto Horas extras</t>
  </si>
  <si>
    <t>Bonos</t>
  </si>
  <si>
    <t>Otros pagos</t>
  </si>
  <si>
    <t>Neto a Pagar</t>
  </si>
  <si>
    <t>Ricardo González</t>
  </si>
  <si>
    <t>Gina Bisono</t>
  </si>
  <si>
    <t>Sarah Jose Luna</t>
  </si>
  <si>
    <t>Nicole Nova</t>
  </si>
  <si>
    <t>Yanko Cruz</t>
  </si>
  <si>
    <t>Khalil Burroughs</t>
  </si>
  <si>
    <t>Flor Matos</t>
  </si>
  <si>
    <t>Leslie Corimer Rodriguez Inoa</t>
  </si>
  <si>
    <t>Leslie Cueto</t>
  </si>
  <si>
    <t>Diana Reyes De Jose</t>
  </si>
  <si>
    <t>Emmanuel Mesa</t>
  </si>
  <si>
    <t>Pablo Peguero</t>
  </si>
  <si>
    <t>Christine Mendez</t>
  </si>
  <si>
    <t>Randres Diaz</t>
  </si>
  <si>
    <t>Allison Marie Joaquin Cespedes</t>
  </si>
  <si>
    <t>Genesis Malaui De Jesus</t>
  </si>
  <si>
    <t>Misael Miguel Massanet Asencio</t>
  </si>
  <si>
    <t>Laura Pilier</t>
  </si>
  <si>
    <t>Carlos Edinson Concepcion Estevez</t>
  </si>
  <si>
    <t>Yasmil Arias</t>
  </si>
  <si>
    <t>Raquel Reyes</t>
  </si>
  <si>
    <t>Emmanuel Cuevas Javier</t>
  </si>
  <si>
    <t>Karen Mayers</t>
  </si>
  <si>
    <t>Nicole Cristina Pilier Saladin</t>
  </si>
  <si>
    <t>Angeli Celeste Duran Volquez</t>
  </si>
  <si>
    <t>Melissa Soto Mejia</t>
  </si>
  <si>
    <t>Derian Alexander Soto Arias</t>
  </si>
  <si>
    <t>Yannaty Odeth Cruz Elsevyf</t>
  </si>
  <si>
    <t>Gerson Adriel Nunez Olivares</t>
  </si>
  <si>
    <t>Daisy Marie Beltre Perez</t>
  </si>
  <si>
    <t>Jeremy Liriano Araujo</t>
  </si>
  <si>
    <t>George Anthony Freeman Carrasco</t>
  </si>
  <si>
    <t>Joel José Cruz Feliz</t>
  </si>
  <si>
    <t>Rosa Nayibe Curet Montes de Oca</t>
  </si>
  <si>
    <t>Arianna Carolina Berroa Uribe</t>
  </si>
  <si>
    <t>Katilenia Del Alba Caraballo Núñez</t>
  </si>
  <si>
    <t>Diana De La Cruz Diaz</t>
  </si>
  <si>
    <t>Jose Carlos Mieses Tejeda</t>
  </si>
  <si>
    <t>Gabriela María Mota Alcántara</t>
  </si>
  <si>
    <t>Victor Alexander  Reynoso Polanco</t>
  </si>
  <si>
    <t>Emmanuel Rodríguez Taveras</t>
  </si>
  <si>
    <t>Shantell Camila  Lorenzo Aquino</t>
  </si>
  <si>
    <t>Génesis Almánzar</t>
  </si>
  <si>
    <t>William Adonni Mejia Baez</t>
  </si>
  <si>
    <t>Bemilly Daniela Garcia Mercedes</t>
  </si>
  <si>
    <t>Amelia Inés Peralta del Villar</t>
  </si>
  <si>
    <t>118-608850-0</t>
  </si>
  <si>
    <t>223-0117856-6</t>
  </si>
  <si>
    <t>402-3771804-0</t>
  </si>
  <si>
    <t>402-0063047-9</t>
  </si>
  <si>
    <t>402-2016656-1</t>
  </si>
  <si>
    <t>223-0087508-9</t>
  </si>
  <si>
    <t>402-2457687-2</t>
  </si>
  <si>
    <t>402-1537646-4</t>
  </si>
  <si>
    <t>402-2664129-4</t>
  </si>
  <si>
    <t>402-2171328-8</t>
  </si>
  <si>
    <t>402-2729086-9</t>
  </si>
  <si>
    <t>402-0921615-5</t>
  </si>
  <si>
    <t>402-2113773-6</t>
  </si>
  <si>
    <t>402-2187756-2</t>
  </si>
  <si>
    <t>402-2416892-8</t>
  </si>
  <si>
    <t>402-3378440-0</t>
  </si>
  <si>
    <t>223-0155770-2</t>
  </si>
  <si>
    <t>402-0058945-1</t>
  </si>
  <si>
    <t>402-2522977-8</t>
  </si>
  <si>
    <t>118-230937-7</t>
  </si>
  <si>
    <t>402-2200641-9</t>
  </si>
  <si>
    <t>402-2434581-5</t>
  </si>
  <si>
    <t>402-2188940-1</t>
  </si>
  <si>
    <t>402-2047842-0</t>
  </si>
  <si>
    <t>402-2792861-7</t>
  </si>
  <si>
    <t>223-0138010-5</t>
  </si>
  <si>
    <t>402-2313278-4</t>
  </si>
  <si>
    <t>402-1526755-6</t>
  </si>
  <si>
    <t>402-2423779-8</t>
  </si>
  <si>
    <t>402-2821102-1</t>
  </si>
  <si>
    <t>402-2830958-5</t>
  </si>
  <si>
    <t>402-2681741-5</t>
  </si>
  <si>
    <t>402-5877462-5</t>
  </si>
  <si>
    <t>402-3742226-2</t>
  </si>
  <si>
    <t>402-3451959-9</t>
  </si>
  <si>
    <t>402-1130680-4</t>
  </si>
  <si>
    <t>402-3564376-0</t>
  </si>
  <si>
    <t>402-1965841-2</t>
  </si>
  <si>
    <t>118-750561-1</t>
  </si>
  <si>
    <t>402-3808081-2</t>
  </si>
  <si>
    <t>402-2879308-5</t>
  </si>
  <si>
    <t>402-1580033-1</t>
  </si>
  <si>
    <t>402-3190881-1</t>
  </si>
  <si>
    <t>402-2466151-8</t>
  </si>
  <si>
    <t>402-2342236-7</t>
  </si>
  <si>
    <t>402-2754106-3</t>
  </si>
  <si>
    <t>402-0063994-2</t>
  </si>
  <si>
    <t>Elizabeth Geronimo Hanley</t>
  </si>
  <si>
    <t>402-0052948-1</t>
  </si>
  <si>
    <t>Eddy Yamile Ureña Pepen</t>
  </si>
  <si>
    <t>001-1891799-6</t>
  </si>
  <si>
    <t>Carlos Jesus De la Rosa</t>
  </si>
  <si>
    <t>402-3531321-6</t>
  </si>
  <si>
    <t>Ana Leonor Herrá D'Soto</t>
  </si>
  <si>
    <t>402-0983828-9</t>
  </si>
  <si>
    <t>Jeffree Javier Vasquez Franco</t>
  </si>
  <si>
    <t>402-3005892-3</t>
  </si>
  <si>
    <t>Ilbert Alexi Jimenez Zapata</t>
  </si>
  <si>
    <t>402-2504024-1</t>
  </si>
  <si>
    <t>Mayelin Paola Lopez Vasquez</t>
  </si>
  <si>
    <t>402-4007980-2</t>
  </si>
  <si>
    <t>Maria Isabel Valdez Capellan</t>
  </si>
  <si>
    <t>402-3012529-2</t>
  </si>
  <si>
    <t>Juan Carlos Rubesindo Vasquez</t>
  </si>
  <si>
    <t>sueldo bruto</t>
  </si>
  <si>
    <t>Feriado</t>
  </si>
  <si>
    <t>553371</t>
  </si>
  <si>
    <t>553476</t>
  </si>
  <si>
    <t>553509</t>
  </si>
  <si>
    <t>553512</t>
  </si>
  <si>
    <t>553515</t>
  </si>
  <si>
    <t>553517</t>
  </si>
  <si>
    <t>553518</t>
  </si>
  <si>
    <t>553519</t>
  </si>
  <si>
    <t>553520</t>
  </si>
  <si>
    <t>553676</t>
  </si>
  <si>
    <t>553700</t>
  </si>
  <si>
    <t>553701</t>
  </si>
  <si>
    <t>553702</t>
  </si>
  <si>
    <t>553703</t>
  </si>
  <si>
    <t>553704</t>
  </si>
  <si>
    <t>553705</t>
  </si>
  <si>
    <t>553707</t>
  </si>
  <si>
    <t>553708</t>
  </si>
  <si>
    <t>553710</t>
  </si>
  <si>
    <t>553711</t>
  </si>
  <si>
    <t>553713</t>
  </si>
  <si>
    <t>553714</t>
  </si>
  <si>
    <t>553715</t>
  </si>
  <si>
    <t>553718</t>
  </si>
  <si>
    <t>570652</t>
  </si>
  <si>
    <t>570653</t>
  </si>
  <si>
    <t>571947</t>
  </si>
  <si>
    <t>571948</t>
  </si>
  <si>
    <t>572284</t>
  </si>
  <si>
    <t>572445</t>
  </si>
  <si>
    <t>574668</t>
  </si>
  <si>
    <t>575126</t>
  </si>
  <si>
    <t>575320</t>
  </si>
  <si>
    <t>575825</t>
  </si>
  <si>
    <t>575900</t>
  </si>
  <si>
    <t>576444</t>
  </si>
  <si>
    <t>592406</t>
  </si>
  <si>
    <t>592407</t>
  </si>
  <si>
    <t>592889</t>
  </si>
  <si>
    <t>603975</t>
  </si>
  <si>
    <t>603976</t>
  </si>
  <si>
    <t>603982</t>
  </si>
  <si>
    <t>603983</t>
  </si>
  <si>
    <t>604069</t>
  </si>
  <si>
    <t>604233</t>
  </si>
  <si>
    <t>604234</t>
  </si>
  <si>
    <t>610217</t>
  </si>
  <si>
    <t>611370</t>
  </si>
  <si>
    <t>611371</t>
  </si>
  <si>
    <t>611830</t>
  </si>
  <si>
    <t>612270</t>
  </si>
  <si>
    <t>612361</t>
  </si>
  <si>
    <t>612597</t>
  </si>
  <si>
    <t>612653</t>
  </si>
  <si>
    <t>613773</t>
  </si>
  <si>
    <t>Excedente vacacional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</si>
</sst>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##&quot;-&quot;#######&quot;-&quot;#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462D1E"/>
      </left>
      <right style="thin">
        <color rgb="FF462D1E"/>
      </right>
      <top style="thin">
        <color rgb="FF462D1E"/>
      </top>
      <bottom style="thin">
        <color rgb="FF462D1E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Protection="1">
      <protection locked="0"/>
    </xf>
    <xf numFmtId="164" fontId="2" fillId="0" borderId="1" xfId="0" applyNumberFormat="1" applyFont="1" applyBorder="1"/>
    <xf numFmtId="0" fontId="3" fillId="2" borderId="1" xfId="0" applyFont="1" applyFill="1" applyBorder="1" applyProtection="1">
      <protection locked="0"/>
    </xf>
    <xf numFmtId="0" fontId="3" fillId="0" borderId="1" xfId="0" applyFont="1" applyBorder="1" applyProtection="1">
      <protection locked="0"/>
    </xf>
    <xf numFmtId="43" fontId="4" fillId="0" borderId="1" xfId="1" applyFont="1" applyFill="1" applyBorder="1" applyProtection="1"/>
    <xf numFmtId="43" fontId="3" fillId="0" borderId="1" xfId="1" applyFont="1" applyFill="1" applyBorder="1" applyProtection="1"/>
    <xf numFmtId="43" fontId="3" fillId="0" borderId="1" xfId="1" applyFont="1" applyFill="1" applyBorder="1" applyAlignment="1" applyProtection="1">
      <alignment wrapText="1"/>
    </xf>
    <xf numFmtId="43" fontId="3" fillId="0" borderId="1" xfId="1" applyFont="1" applyFill="1" applyBorder="1" applyProtection="1">
      <protection locked="0"/>
    </xf>
    <xf numFmtId="43" fontId="2" fillId="0" borderId="1" xfId="1" applyFont="1" applyBorder="1" applyProtection="1">
      <protection locked="0"/>
    </xf>
    <xf numFmtId="43" fontId="0" fillId="0" borderId="0" xfId="0" applyNumberFormat="1"/>
  </cellXfs>
  <cellStyles count="2">
    <cellStyle name="Millares" xfId="1" builtinId="3"/>
    <cellStyle name="Normal" xfId="0" builtinId="0"/>
  </cellStyles>
  <dxfs count="13">
    <dxf>
      <fill>
        <patternFill>
          <bgColor rgb="FFF0F3ED"/>
        </patternFill>
      </fill>
    </dxf>
    <dxf>
      <fill>
        <patternFill>
          <bgColor rgb="FFFFFF8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7F0ED"/>
        </patternFill>
      </fill>
    </dxf>
    <dxf>
      <fill>
        <patternFill>
          <bgColor rgb="FFFFFF8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0F3ED"/>
        </patternFill>
      </fill>
    </dxf>
    <dxf>
      <fill>
        <patternFill>
          <bgColor rgb="FFFFFF8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0F3ED"/>
        </patternFill>
      </fill>
    </dxf>
    <dxf>
      <fill>
        <patternFill>
          <bgColor rgb="FFFFFF89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"/>
  <sheetViews>
    <sheetView tabSelected="1" workbookViewId="0">
      <pane xSplit="2" topLeftCell="F1" activePane="topRight" state="frozen"/>
      <selection pane="topRight" activeCell="I57" sqref="I57"/>
    </sheetView>
  </sheetViews>
  <sheetFormatPr baseColWidth="10" defaultRowHeight="15.75" x14ac:dyDescent="0.25"/>
  <cols>
    <col min="1" max="1" width="28" customWidth="1"/>
    <col min="2" max="2" width="20.875" customWidth="1"/>
    <col min="4" max="4" width="18.125" customWidth="1"/>
    <col min="5" max="5" width="16.5" customWidth="1"/>
    <col min="8" max="8" width="16" customWidth="1"/>
    <col min="10" max="10" width="15.625" customWidth="1"/>
    <col min="11" max="11" width="21.125" customWidth="1"/>
    <col min="12" max="12" width="15.5" customWidth="1"/>
    <col min="13" max="13" width="16.375" customWidth="1"/>
    <col min="16" max="16" width="17.75" customWidth="1"/>
    <col min="18" max="18" width="14.625" customWidth="1"/>
  </cols>
  <sheetData>
    <row r="1" spans="1:18" ht="30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125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126</v>
      </c>
      <c r="P1" t="s">
        <v>182</v>
      </c>
      <c r="Q1" t="s">
        <v>13</v>
      </c>
      <c r="R1" t="s">
        <v>14</v>
      </c>
    </row>
    <row r="2" spans="1:18" x14ac:dyDescent="0.25">
      <c r="A2" s="1" t="s">
        <v>15</v>
      </c>
      <c r="B2" s="2" t="s">
        <v>61</v>
      </c>
      <c r="C2" s="3" t="s">
        <v>127</v>
      </c>
      <c r="D2" s="5">
        <v>239519.5</v>
      </c>
      <c r="E2" s="5">
        <v>239519.5</v>
      </c>
      <c r="F2" s="6">
        <v>7059.7920000000004</v>
      </c>
      <c r="G2" s="6">
        <v>6874.2096499999998</v>
      </c>
      <c r="H2">
        <v>0</v>
      </c>
      <c r="I2">
        <v>0</v>
      </c>
      <c r="J2">
        <v>0</v>
      </c>
      <c r="K2" s="7">
        <v>44979.312087500002</v>
      </c>
      <c r="L2" s="5">
        <v>13934.00165</v>
      </c>
      <c r="M2" s="6">
        <v>0</v>
      </c>
      <c r="N2" s="8"/>
      <c r="O2" s="8">
        <v>0</v>
      </c>
      <c r="P2" s="8"/>
      <c r="Q2" s="9">
        <v>0</v>
      </c>
      <c r="R2" s="5">
        <v>180606.18626250001</v>
      </c>
    </row>
    <row r="3" spans="1:18" x14ac:dyDescent="0.25">
      <c r="A3" s="1" t="s">
        <v>16</v>
      </c>
      <c r="B3" s="2" t="s">
        <v>62</v>
      </c>
      <c r="C3" s="4" t="s">
        <v>128</v>
      </c>
      <c r="D3" s="5">
        <v>107294.25</v>
      </c>
      <c r="E3" s="5">
        <v>107294.25</v>
      </c>
      <c r="F3" s="6">
        <v>3261.7451999999998</v>
      </c>
      <c r="G3" s="6">
        <v>3079.344975</v>
      </c>
      <c r="K3" s="6">
        <v>16168.147456250001</v>
      </c>
      <c r="L3" s="5">
        <v>6341.0901749999994</v>
      </c>
      <c r="M3" s="6"/>
      <c r="N3" s="8"/>
      <c r="O3" s="8">
        <v>0</v>
      </c>
      <c r="P3" s="8">
        <v>9387.68</v>
      </c>
      <c r="Q3" s="9">
        <v>0</v>
      </c>
      <c r="R3" s="5">
        <v>94172.692368749995</v>
      </c>
    </row>
    <row r="4" spans="1:18" x14ac:dyDescent="0.25">
      <c r="A4" s="1" t="s">
        <v>17</v>
      </c>
      <c r="B4" s="2" t="s">
        <v>63</v>
      </c>
      <c r="C4" s="3" t="s">
        <v>129</v>
      </c>
      <c r="D4" s="5">
        <v>218098.1</v>
      </c>
      <c r="E4" s="5">
        <v>218098.1</v>
      </c>
      <c r="F4" s="6">
        <v>6630.1822400000001</v>
      </c>
      <c r="G4" s="6">
        <v>6259.4154699999999</v>
      </c>
      <c r="K4" s="6">
        <v>44655.673002210446</v>
      </c>
      <c r="L4" s="5">
        <v>12889.59771</v>
      </c>
      <c r="M4" s="6"/>
      <c r="N4" s="8"/>
      <c r="O4" s="8">
        <v>0</v>
      </c>
      <c r="P4" s="8">
        <v>19082.439718841793</v>
      </c>
      <c r="Q4" s="9">
        <v>0</v>
      </c>
      <c r="R4" s="5">
        <v>179635.26900663134</v>
      </c>
    </row>
    <row r="5" spans="1:18" x14ac:dyDescent="0.25">
      <c r="A5" s="1" t="s">
        <v>18</v>
      </c>
      <c r="B5" s="2" t="s">
        <v>64</v>
      </c>
      <c r="C5" s="4" t="s">
        <v>130</v>
      </c>
      <c r="D5" s="5">
        <v>107294.25</v>
      </c>
      <c r="E5" s="5">
        <v>107294.25</v>
      </c>
      <c r="F5" s="6">
        <v>3261.7451999999998</v>
      </c>
      <c r="G5" s="6">
        <v>3079.344975</v>
      </c>
      <c r="K5" s="6">
        <v>16168.148472301196</v>
      </c>
      <c r="L5" s="5">
        <v>6341.0901749999994</v>
      </c>
      <c r="M5" s="6"/>
      <c r="N5" s="8"/>
      <c r="O5" s="8">
        <v>0</v>
      </c>
      <c r="P5" s="8">
        <v>9387.68406420479</v>
      </c>
      <c r="Q5" s="9">
        <v>0</v>
      </c>
      <c r="R5" s="5">
        <v>94172.695416903589</v>
      </c>
    </row>
    <row r="6" spans="1:18" x14ac:dyDescent="0.25">
      <c r="A6" s="1" t="s">
        <v>19</v>
      </c>
      <c r="B6" s="2" t="s">
        <v>65</v>
      </c>
      <c r="C6" s="4" t="s">
        <v>131</v>
      </c>
      <c r="D6" s="5">
        <v>107294.25</v>
      </c>
      <c r="E6" s="5">
        <v>107294.25</v>
      </c>
      <c r="F6" s="6">
        <v>3261.7451999999998</v>
      </c>
      <c r="G6" s="6">
        <v>3079.344975</v>
      </c>
      <c r="K6" s="6">
        <v>16168.148472301196</v>
      </c>
      <c r="L6" s="5">
        <v>6341.0901749999994</v>
      </c>
      <c r="M6" s="6"/>
      <c r="N6" s="8"/>
      <c r="O6" s="8">
        <v>0</v>
      </c>
      <c r="P6" s="8">
        <v>9387.68406420479</v>
      </c>
      <c r="Q6" s="9">
        <v>0</v>
      </c>
      <c r="R6" s="5">
        <v>94172.695416903589</v>
      </c>
    </row>
    <row r="7" spans="1:18" x14ac:dyDescent="0.25">
      <c r="A7" s="1" t="s">
        <v>20</v>
      </c>
      <c r="B7" s="2" t="s">
        <v>66</v>
      </c>
      <c r="C7" s="4" t="s">
        <v>132</v>
      </c>
      <c r="D7" s="5">
        <v>99429.75</v>
      </c>
      <c r="E7" s="5">
        <v>99429.75</v>
      </c>
      <c r="F7" s="6">
        <v>3022.6644000000001</v>
      </c>
      <c r="G7" s="6">
        <v>2853.6338249999999</v>
      </c>
      <c r="K7" s="6">
        <v>14146.195835588023</v>
      </c>
      <c r="L7" s="5">
        <v>5876.2982250000005</v>
      </c>
      <c r="M7" s="6"/>
      <c r="N7" s="8"/>
      <c r="O7" s="8">
        <v>0</v>
      </c>
      <c r="P7" s="8">
        <v>8699.5815673520847</v>
      </c>
      <c r="Q7" s="9">
        <v>0</v>
      </c>
      <c r="R7" s="5">
        <v>88106.837506764059</v>
      </c>
    </row>
    <row r="8" spans="1:18" x14ac:dyDescent="0.25">
      <c r="A8" s="1" t="s">
        <v>21</v>
      </c>
      <c r="B8" s="2" t="s">
        <v>67</v>
      </c>
      <c r="C8" s="4" t="s">
        <v>133</v>
      </c>
      <c r="D8" s="5">
        <v>196612.5</v>
      </c>
      <c r="E8" s="5">
        <v>196612.5</v>
      </c>
      <c r="F8" s="6">
        <v>5977.02</v>
      </c>
      <c r="G8" s="6">
        <v>5642.7787500000004</v>
      </c>
      <c r="K8" s="6">
        <v>39131.753417829415</v>
      </c>
      <c r="L8" s="5">
        <v>11619.798750000002</v>
      </c>
      <c r="M8" s="6"/>
      <c r="N8" s="8"/>
      <c r="O8" s="8">
        <v>0</v>
      </c>
      <c r="P8" s="8">
        <v>17202.562421317663</v>
      </c>
      <c r="Q8" s="9">
        <v>0</v>
      </c>
      <c r="R8" s="5">
        <v>163063.51025348826</v>
      </c>
    </row>
    <row r="9" spans="1:18" x14ac:dyDescent="0.25">
      <c r="A9" s="1" t="s">
        <v>22</v>
      </c>
      <c r="B9" s="2" t="s">
        <v>68</v>
      </c>
      <c r="C9" s="4" t="s">
        <v>134</v>
      </c>
      <c r="D9" s="5">
        <v>115158.75</v>
      </c>
      <c r="E9" s="5">
        <v>115158.75</v>
      </c>
      <c r="F9" s="6">
        <v>3500.826</v>
      </c>
      <c r="G9" s="6">
        <v>3305.0561250000001</v>
      </c>
      <c r="K9" s="6">
        <v>18190.101109014373</v>
      </c>
      <c r="L9" s="5">
        <v>6805.8821250000001</v>
      </c>
      <c r="M9" s="6"/>
      <c r="N9" s="8"/>
      <c r="O9" s="8">
        <v>0</v>
      </c>
      <c r="P9" s="8">
        <v>10075.786561057495</v>
      </c>
      <c r="Q9" s="9">
        <v>0</v>
      </c>
      <c r="R9" s="5">
        <v>100238.55332704312</v>
      </c>
    </row>
    <row r="10" spans="1:18" x14ac:dyDescent="0.25">
      <c r="A10" s="1" t="s">
        <v>23</v>
      </c>
      <c r="B10" s="2" t="s">
        <v>69</v>
      </c>
      <c r="C10" s="4" t="s">
        <v>135</v>
      </c>
      <c r="D10" s="5">
        <v>111381.65</v>
      </c>
      <c r="E10" s="5">
        <v>111381.65</v>
      </c>
      <c r="F10" s="6">
        <v>3386.00216</v>
      </c>
      <c r="G10" s="6">
        <v>3196.6533549999999</v>
      </c>
      <c r="K10" s="6">
        <v>17219.01365219838</v>
      </c>
      <c r="L10" s="5">
        <v>6582.6555150000004</v>
      </c>
      <c r="M10" s="6"/>
      <c r="N10" s="8"/>
      <c r="O10" s="8">
        <v>0</v>
      </c>
      <c r="P10" s="8">
        <v>9745.3101237935334</v>
      </c>
      <c r="Q10" s="9">
        <v>0</v>
      </c>
      <c r="R10" s="5">
        <v>97325.290956595141</v>
      </c>
    </row>
    <row r="11" spans="1:18" x14ac:dyDescent="0.25">
      <c r="A11" s="1" t="s">
        <v>24</v>
      </c>
      <c r="B11" s="2" t="s">
        <v>70</v>
      </c>
      <c r="C11" s="4" t="s">
        <v>136</v>
      </c>
      <c r="D11" s="5">
        <v>214096.3</v>
      </c>
      <c r="E11" s="5">
        <v>214096.3</v>
      </c>
      <c r="F11" s="6">
        <v>6508.5275199999996</v>
      </c>
      <c r="G11" s="6">
        <v>6144.5638099999996</v>
      </c>
      <c r="K11" s="6">
        <v>38943.739667499998</v>
      </c>
      <c r="L11" s="5">
        <v>12653.091329999999</v>
      </c>
      <c r="M11" s="6"/>
      <c r="N11" s="8"/>
      <c r="O11" s="8">
        <v>0</v>
      </c>
      <c r="P11" s="8"/>
      <c r="Q11" s="9">
        <v>0</v>
      </c>
      <c r="R11" s="5">
        <v>162499.4690025</v>
      </c>
    </row>
    <row r="12" spans="1:18" x14ac:dyDescent="0.25">
      <c r="A12" s="1" t="s">
        <v>25</v>
      </c>
      <c r="B12" s="2" t="s">
        <v>71</v>
      </c>
      <c r="C12" s="4" t="s">
        <v>137</v>
      </c>
      <c r="D12" s="5">
        <v>115158.75</v>
      </c>
      <c r="E12" s="5">
        <v>115158.75</v>
      </c>
      <c r="F12" s="6">
        <v>3500.826</v>
      </c>
      <c r="G12" s="6">
        <v>3305.0561250000001</v>
      </c>
      <c r="K12" s="6">
        <v>15671.154468749999</v>
      </c>
      <c r="L12" s="5">
        <v>6805.8821250000001</v>
      </c>
      <c r="M12" s="6"/>
      <c r="N12" s="8"/>
      <c r="O12" s="8">
        <v>0</v>
      </c>
      <c r="P12" s="8"/>
      <c r="Q12" s="9">
        <v>0</v>
      </c>
      <c r="R12" s="5">
        <v>92681.713406249997</v>
      </c>
    </row>
    <row r="13" spans="1:18" x14ac:dyDescent="0.25">
      <c r="A13" s="1" t="s">
        <v>26</v>
      </c>
      <c r="B13" s="2" t="s">
        <v>72</v>
      </c>
      <c r="C13" s="4" t="s">
        <v>138</v>
      </c>
      <c r="D13" s="5">
        <v>92978.1</v>
      </c>
      <c r="E13" s="5">
        <v>92978.1</v>
      </c>
      <c r="F13" s="6">
        <v>2826.53424</v>
      </c>
      <c r="G13" s="6">
        <v>2668.47147</v>
      </c>
      <c r="K13" s="6">
        <v>10453.711072500002</v>
      </c>
      <c r="L13" s="5">
        <v>5495.0057099999995</v>
      </c>
      <c r="M13" s="6"/>
      <c r="N13" s="8"/>
      <c r="O13" s="8">
        <v>0</v>
      </c>
      <c r="P13" s="8"/>
      <c r="Q13" s="9">
        <v>0</v>
      </c>
      <c r="R13" s="5">
        <v>77029.383217499999</v>
      </c>
    </row>
    <row r="14" spans="1:18" x14ac:dyDescent="0.25">
      <c r="A14" s="1" t="s">
        <v>27</v>
      </c>
      <c r="B14" s="2" t="s">
        <v>73</v>
      </c>
      <c r="C14" s="4" t="s">
        <v>139</v>
      </c>
      <c r="D14" s="5">
        <v>170000</v>
      </c>
      <c r="E14" s="5">
        <v>170000</v>
      </c>
      <c r="F14" s="6">
        <v>5168</v>
      </c>
      <c r="G14" s="6">
        <v>4879</v>
      </c>
      <c r="K14" s="6">
        <v>28571.1875</v>
      </c>
      <c r="L14" s="5">
        <v>10047</v>
      </c>
      <c r="M14" s="6"/>
      <c r="N14" s="8"/>
      <c r="O14" s="8">
        <v>0</v>
      </c>
      <c r="P14" s="8"/>
      <c r="Q14" s="9">
        <v>0</v>
      </c>
      <c r="R14" s="5">
        <v>131381.8125</v>
      </c>
    </row>
    <row r="15" spans="1:18" x14ac:dyDescent="0.25">
      <c r="A15" s="1" t="s">
        <v>28</v>
      </c>
      <c r="B15" s="2" t="s">
        <v>74</v>
      </c>
      <c r="C15" s="4" t="s">
        <v>140</v>
      </c>
      <c r="D15" s="5">
        <v>168525</v>
      </c>
      <c r="E15" s="5">
        <v>168525</v>
      </c>
      <c r="F15" s="6">
        <v>5123.16</v>
      </c>
      <c r="G15" s="6">
        <v>4836.6674999999996</v>
      </c>
      <c r="K15" s="6">
        <v>28224.230624999997</v>
      </c>
      <c r="L15" s="5">
        <v>9959.8274999999994</v>
      </c>
      <c r="M15" s="6"/>
      <c r="N15" s="8"/>
      <c r="O15" s="8">
        <v>0</v>
      </c>
      <c r="P15" s="8"/>
      <c r="Q15" s="9">
        <v>0</v>
      </c>
      <c r="R15" s="5">
        <v>130340.94187499999</v>
      </c>
    </row>
    <row r="16" spans="1:18" x14ac:dyDescent="0.25">
      <c r="A16" s="1" t="s">
        <v>29</v>
      </c>
      <c r="B16" s="2" t="s">
        <v>75</v>
      </c>
      <c r="C16" s="4" t="s">
        <v>141</v>
      </c>
      <c r="D16" s="5">
        <v>115158.75</v>
      </c>
      <c r="E16" s="5">
        <v>115158.75</v>
      </c>
      <c r="F16" s="6">
        <v>3500.826</v>
      </c>
      <c r="G16" s="6">
        <v>3305.0561250000001</v>
      </c>
      <c r="K16" s="6">
        <v>16150.984468750001</v>
      </c>
      <c r="L16" s="5">
        <v>6805.8821250000001</v>
      </c>
      <c r="M16" s="6"/>
      <c r="N16" s="8"/>
      <c r="O16" s="8">
        <v>1919.32</v>
      </c>
      <c r="P16" s="8"/>
      <c r="Q16" s="9">
        <v>0</v>
      </c>
      <c r="R16" s="5">
        <v>94121.203406250002</v>
      </c>
    </row>
    <row r="17" spans="1:18" x14ac:dyDescent="0.25">
      <c r="A17" s="1" t="s">
        <v>30</v>
      </c>
      <c r="B17" s="2" t="s">
        <v>76</v>
      </c>
      <c r="C17" s="4" t="s">
        <v>142</v>
      </c>
      <c r="D17" s="5">
        <v>183855</v>
      </c>
      <c r="E17" s="5">
        <v>183855</v>
      </c>
      <c r="F17" s="6">
        <v>5589.192</v>
      </c>
      <c r="G17" s="6">
        <v>5276.6385</v>
      </c>
      <c r="K17" s="6">
        <v>31830.229874999997</v>
      </c>
      <c r="L17" s="5">
        <v>10865.8305</v>
      </c>
      <c r="M17" s="6"/>
      <c r="N17" s="8"/>
      <c r="O17" s="8">
        <v>0</v>
      </c>
      <c r="P17" s="8"/>
      <c r="Q17" s="9">
        <v>0</v>
      </c>
      <c r="R17" s="5">
        <v>141158.939625</v>
      </c>
    </row>
    <row r="18" spans="1:18" x14ac:dyDescent="0.25">
      <c r="A18" s="1" t="s">
        <v>31</v>
      </c>
      <c r="B18" s="2" t="s">
        <v>77</v>
      </c>
      <c r="C18" s="4" t="s">
        <v>143</v>
      </c>
      <c r="D18" s="5">
        <v>123585</v>
      </c>
      <c r="E18" s="5">
        <v>123585</v>
      </c>
      <c r="F18" s="6">
        <v>3756.9839999999999</v>
      </c>
      <c r="G18" s="6">
        <v>3546.8894999999998</v>
      </c>
      <c r="K18" s="6">
        <v>17653.219125</v>
      </c>
      <c r="L18" s="5">
        <v>7303.8734999999997</v>
      </c>
      <c r="M18" s="6"/>
      <c r="N18" s="8"/>
      <c r="O18" s="8">
        <v>0</v>
      </c>
      <c r="P18" s="8"/>
      <c r="Q18" s="9">
        <v>0</v>
      </c>
      <c r="R18" s="5">
        <v>98627.907374999995</v>
      </c>
    </row>
    <row r="19" spans="1:18" x14ac:dyDescent="0.25">
      <c r="A19" s="1" t="s">
        <v>32</v>
      </c>
      <c r="B19" s="2" t="s">
        <v>78</v>
      </c>
      <c r="C19" s="4" t="s">
        <v>144</v>
      </c>
      <c r="D19" s="5">
        <v>83700.75</v>
      </c>
      <c r="E19" s="5">
        <v>83700.75</v>
      </c>
      <c r="F19" s="6">
        <v>2544.5028000000002</v>
      </c>
      <c r="G19" s="6">
        <v>2402.2115250000002</v>
      </c>
      <c r="K19" s="6">
        <v>8271.446418749998</v>
      </c>
      <c r="L19" s="5">
        <v>4946.7143250000008</v>
      </c>
      <c r="M19" s="6"/>
      <c r="N19" s="8"/>
      <c r="O19" s="8">
        <v>0</v>
      </c>
      <c r="P19" s="8"/>
      <c r="Q19" s="9">
        <v>0</v>
      </c>
      <c r="R19" s="5">
        <v>70482.589256249994</v>
      </c>
    </row>
    <row r="20" spans="1:18" x14ac:dyDescent="0.25">
      <c r="A20" s="1" t="s">
        <v>33</v>
      </c>
      <c r="B20" s="2" t="s">
        <v>79</v>
      </c>
      <c r="C20" s="4" t="s">
        <v>145</v>
      </c>
      <c r="D20" s="5">
        <v>138752.25</v>
      </c>
      <c r="E20" s="5">
        <v>138752.25</v>
      </c>
      <c r="F20" s="6">
        <v>4218.0684000000001</v>
      </c>
      <c r="G20" s="6">
        <v>3982.1895749999999</v>
      </c>
      <c r="K20" s="6">
        <v>21220.935506250004</v>
      </c>
      <c r="L20" s="5">
        <v>8200.2579750000004</v>
      </c>
      <c r="M20" s="6"/>
      <c r="N20" s="8"/>
      <c r="O20" s="8">
        <v>0</v>
      </c>
      <c r="P20" s="8"/>
      <c r="Q20" s="9">
        <v>0</v>
      </c>
      <c r="R20" s="5">
        <v>109331.05651875</v>
      </c>
    </row>
    <row r="21" spans="1:18" x14ac:dyDescent="0.25">
      <c r="A21" s="1" t="s">
        <v>34</v>
      </c>
      <c r="B21" s="2" t="s">
        <v>80</v>
      </c>
      <c r="C21" s="4" t="s">
        <v>146</v>
      </c>
      <c r="D21" s="5">
        <v>73542</v>
      </c>
      <c r="E21" s="5">
        <v>73542</v>
      </c>
      <c r="F21" s="6">
        <v>2235.6768000000002</v>
      </c>
      <c r="G21" s="6">
        <v>2110.6554000000001</v>
      </c>
      <c r="K21" s="6">
        <v>6034.9835600000006</v>
      </c>
      <c r="L21" s="5">
        <v>4346.3322000000007</v>
      </c>
      <c r="M21" s="6"/>
      <c r="N21" s="8"/>
      <c r="O21" s="8">
        <v>0</v>
      </c>
      <c r="P21" s="8"/>
      <c r="Q21" s="9">
        <v>0</v>
      </c>
      <c r="R21" s="5">
        <v>63160.684239999995</v>
      </c>
    </row>
    <row r="22" spans="1:18" x14ac:dyDescent="0.25">
      <c r="A22" s="1" t="s">
        <v>35</v>
      </c>
      <c r="B22" s="2" t="s">
        <v>81</v>
      </c>
      <c r="C22" s="4" t="s">
        <v>147</v>
      </c>
      <c r="D22" s="5">
        <v>125000</v>
      </c>
      <c r="E22" s="5">
        <v>125000</v>
      </c>
      <c r="F22" s="6">
        <v>3800</v>
      </c>
      <c r="G22" s="6">
        <v>3587.5</v>
      </c>
      <c r="K22" s="6">
        <v>17986.0625</v>
      </c>
      <c r="L22" s="5">
        <v>7387.5</v>
      </c>
      <c r="M22" s="6"/>
      <c r="N22" s="8"/>
      <c r="O22" s="8">
        <v>0</v>
      </c>
      <c r="P22" s="8"/>
      <c r="Q22" s="9">
        <v>0</v>
      </c>
      <c r="R22" s="5">
        <v>99626.4375</v>
      </c>
    </row>
    <row r="23" spans="1:18" x14ac:dyDescent="0.25">
      <c r="A23" s="1" t="s">
        <v>36</v>
      </c>
      <c r="B23" s="2" t="s">
        <v>82</v>
      </c>
      <c r="C23" s="4" t="s">
        <v>148</v>
      </c>
      <c r="D23" s="5">
        <v>83700.75</v>
      </c>
      <c r="E23" s="5">
        <v>83700.75</v>
      </c>
      <c r="F23" s="6">
        <v>2544.5028000000002</v>
      </c>
      <c r="G23" s="6">
        <v>2402.2115250000002</v>
      </c>
      <c r="K23" s="6">
        <v>8271.446418749998</v>
      </c>
      <c r="L23" s="5">
        <v>4946.7143250000008</v>
      </c>
      <c r="M23" s="6">
        <v>0</v>
      </c>
      <c r="N23" s="8"/>
      <c r="O23" s="8">
        <v>0</v>
      </c>
      <c r="P23" s="8"/>
      <c r="Q23" s="9">
        <v>0</v>
      </c>
      <c r="R23" s="5">
        <v>70482.589256249994</v>
      </c>
    </row>
    <row r="24" spans="1:18" x14ac:dyDescent="0.25">
      <c r="A24" s="1" t="s">
        <v>37</v>
      </c>
      <c r="B24" s="2" t="s">
        <v>83</v>
      </c>
      <c r="C24" s="4" t="s">
        <v>149</v>
      </c>
      <c r="D24" s="5">
        <v>83700.75</v>
      </c>
      <c r="E24" s="5">
        <v>83700.75</v>
      </c>
      <c r="F24" s="6">
        <v>2544.5028000000002</v>
      </c>
      <c r="G24" s="6">
        <v>2402.2115250000002</v>
      </c>
      <c r="K24" s="6">
        <v>8271.446418749998</v>
      </c>
      <c r="L24" s="5">
        <v>4946.7143250000008</v>
      </c>
      <c r="M24" s="6">
        <v>0</v>
      </c>
      <c r="N24" s="8"/>
      <c r="O24" s="8">
        <v>0</v>
      </c>
      <c r="P24" s="8"/>
      <c r="Q24" s="9">
        <v>0</v>
      </c>
      <c r="R24" s="5">
        <v>70482.589256249994</v>
      </c>
    </row>
    <row r="25" spans="1:18" x14ac:dyDescent="0.25">
      <c r="A25" s="1" t="s">
        <v>38</v>
      </c>
      <c r="B25" s="2" t="s">
        <v>84</v>
      </c>
      <c r="C25" s="4" t="s">
        <v>150</v>
      </c>
      <c r="D25" s="5">
        <v>107294.25</v>
      </c>
      <c r="E25" s="5">
        <v>107294.25</v>
      </c>
      <c r="F25" s="6">
        <v>3261.7451999999998</v>
      </c>
      <c r="G25" s="6">
        <v>3079.344975</v>
      </c>
      <c r="K25" s="6">
        <v>13821.227456249999</v>
      </c>
      <c r="L25" s="5">
        <v>6341.0901749999994</v>
      </c>
      <c r="M25" s="6">
        <v>0</v>
      </c>
      <c r="N25" s="8"/>
      <c r="O25" s="8">
        <v>0</v>
      </c>
      <c r="P25" s="8"/>
      <c r="Q25" s="9">
        <v>0</v>
      </c>
      <c r="R25" s="5">
        <v>87131.93236875</v>
      </c>
    </row>
    <row r="26" spans="1:18" x14ac:dyDescent="0.25">
      <c r="A26" s="1" t="s">
        <v>39</v>
      </c>
      <c r="B26" s="2" t="s">
        <v>85</v>
      </c>
      <c r="C26" s="4" t="s">
        <v>151</v>
      </c>
      <c r="D26" s="5">
        <v>55620</v>
      </c>
      <c r="E26" s="5">
        <v>55620</v>
      </c>
      <c r="F26" s="6">
        <v>1690.848</v>
      </c>
      <c r="G26" s="6">
        <v>1596.2940000000001</v>
      </c>
      <c r="K26" s="6">
        <v>2662.4216000000006</v>
      </c>
      <c r="L26" s="5">
        <v>3287.1419999999998</v>
      </c>
      <c r="M26" s="6">
        <v>0</v>
      </c>
      <c r="N26" s="8"/>
      <c r="O26" s="8">
        <v>0</v>
      </c>
      <c r="P26" s="8"/>
      <c r="Q26" s="9">
        <v>0</v>
      </c>
      <c r="R26" s="5">
        <v>49670.436399999999</v>
      </c>
    </row>
    <row r="27" spans="1:18" x14ac:dyDescent="0.25">
      <c r="A27" s="1" t="s">
        <v>40</v>
      </c>
      <c r="B27" s="2" t="s">
        <v>86</v>
      </c>
      <c r="C27" s="4" t="s">
        <v>152</v>
      </c>
      <c r="D27" s="5">
        <v>59740</v>
      </c>
      <c r="E27" s="5">
        <v>59740</v>
      </c>
      <c r="F27" s="6">
        <v>1816.096</v>
      </c>
      <c r="G27" s="6">
        <v>1714.538</v>
      </c>
      <c r="K27" s="6">
        <v>3437.7232000000013</v>
      </c>
      <c r="L27" s="5">
        <v>3530.634</v>
      </c>
      <c r="M27" s="6">
        <v>0</v>
      </c>
      <c r="N27" s="8"/>
      <c r="O27" s="8">
        <v>0</v>
      </c>
      <c r="P27" s="8"/>
      <c r="Q27" s="9">
        <v>0</v>
      </c>
      <c r="R27" s="5">
        <v>52771.642800000001</v>
      </c>
    </row>
    <row r="28" spans="1:18" x14ac:dyDescent="0.25">
      <c r="A28" s="1" t="s">
        <v>41</v>
      </c>
      <c r="B28" s="2" t="s">
        <v>87</v>
      </c>
      <c r="C28" s="4" t="s">
        <v>153</v>
      </c>
      <c r="D28" s="5">
        <v>57780</v>
      </c>
      <c r="E28" s="5">
        <v>57780</v>
      </c>
      <c r="F28" s="6">
        <v>1756.5119999999999</v>
      </c>
      <c r="G28" s="6">
        <v>1658.2860000000001</v>
      </c>
      <c r="K28" s="6">
        <v>3068.8904000000002</v>
      </c>
      <c r="L28" s="5">
        <v>3414.7979999999998</v>
      </c>
      <c r="M28" s="6">
        <v>0</v>
      </c>
      <c r="N28" s="8"/>
      <c r="O28" s="8">
        <v>0</v>
      </c>
      <c r="P28" s="8"/>
      <c r="Q28" s="9">
        <v>0</v>
      </c>
      <c r="R28" s="5">
        <v>51296.311600000001</v>
      </c>
    </row>
    <row r="29" spans="1:18" x14ac:dyDescent="0.25">
      <c r="A29" s="1" t="s">
        <v>42</v>
      </c>
      <c r="B29" s="2" t="s">
        <v>88</v>
      </c>
      <c r="C29" s="4" t="s">
        <v>154</v>
      </c>
      <c r="D29" s="5">
        <v>53500</v>
      </c>
      <c r="E29" s="5">
        <v>53500</v>
      </c>
      <c r="F29" s="6">
        <v>1626.4</v>
      </c>
      <c r="G29" s="6">
        <v>1535.45</v>
      </c>
      <c r="K29" s="6">
        <v>2347.9725000000003</v>
      </c>
      <c r="L29" s="5">
        <v>3161.8500000000004</v>
      </c>
      <c r="M29" s="6">
        <v>0</v>
      </c>
      <c r="N29" s="8"/>
      <c r="O29" s="8">
        <v>0</v>
      </c>
      <c r="P29" s="8"/>
      <c r="Q29" s="9">
        <v>0</v>
      </c>
      <c r="R29" s="5">
        <v>47990.177499999998</v>
      </c>
    </row>
    <row r="30" spans="1:18" x14ac:dyDescent="0.25">
      <c r="A30" s="1" t="s">
        <v>43</v>
      </c>
      <c r="B30" s="2" t="s">
        <v>89</v>
      </c>
      <c r="C30" s="4" t="s">
        <v>155</v>
      </c>
      <c r="D30" s="5">
        <v>95000</v>
      </c>
      <c r="E30" s="5">
        <v>95000</v>
      </c>
      <c r="F30" s="6">
        <v>2888</v>
      </c>
      <c r="G30" s="6">
        <v>2726.5</v>
      </c>
      <c r="K30" s="6">
        <v>10929.3125</v>
      </c>
      <c r="L30" s="5">
        <v>5614.5</v>
      </c>
      <c r="M30" s="6">
        <v>0</v>
      </c>
      <c r="N30" s="8"/>
      <c r="O30" s="8">
        <v>0</v>
      </c>
      <c r="P30" s="8"/>
      <c r="Q30" s="9">
        <v>0</v>
      </c>
      <c r="R30" s="5">
        <v>78456.1875</v>
      </c>
    </row>
    <row r="31" spans="1:18" x14ac:dyDescent="0.25">
      <c r="A31" s="1" t="s">
        <v>44</v>
      </c>
      <c r="B31" s="2" t="s">
        <v>90</v>
      </c>
      <c r="C31" s="4" t="s">
        <v>156</v>
      </c>
      <c r="D31" s="5">
        <v>145000</v>
      </c>
      <c r="E31" s="5">
        <v>145000</v>
      </c>
      <c r="F31" s="6">
        <v>4408</v>
      </c>
      <c r="G31" s="6">
        <v>4161.5</v>
      </c>
      <c r="K31" s="6">
        <v>22690.5625</v>
      </c>
      <c r="L31" s="5">
        <v>8569.5</v>
      </c>
      <c r="M31" s="6">
        <v>0</v>
      </c>
      <c r="N31" s="8"/>
      <c r="O31" s="8">
        <v>0</v>
      </c>
      <c r="P31" s="8"/>
      <c r="Q31" s="9">
        <v>0</v>
      </c>
      <c r="R31" s="5">
        <v>113739.9375</v>
      </c>
    </row>
    <row r="32" spans="1:18" x14ac:dyDescent="0.25">
      <c r="A32" s="1" t="s">
        <v>45</v>
      </c>
      <c r="B32" s="2" t="s">
        <v>91</v>
      </c>
      <c r="C32" s="4" t="s">
        <v>157</v>
      </c>
      <c r="D32" s="5">
        <v>60990</v>
      </c>
      <c r="E32" s="5">
        <v>60990</v>
      </c>
      <c r="F32" s="6">
        <v>1854.096</v>
      </c>
      <c r="G32" s="6">
        <v>1750.413</v>
      </c>
      <c r="K32" s="6">
        <v>3672.9482000000007</v>
      </c>
      <c r="L32" s="5">
        <v>3604.509</v>
      </c>
      <c r="M32" s="6">
        <v>0</v>
      </c>
      <c r="N32" s="8"/>
      <c r="O32" s="8">
        <v>0</v>
      </c>
      <c r="P32" s="8"/>
      <c r="Q32" s="9">
        <v>0</v>
      </c>
      <c r="R32" s="5">
        <v>53712.542800000003</v>
      </c>
    </row>
    <row r="33" spans="1:18" x14ac:dyDescent="0.25">
      <c r="A33" s="1" t="s">
        <v>46</v>
      </c>
      <c r="B33" s="2" t="s">
        <v>92</v>
      </c>
      <c r="C33" s="4" t="s">
        <v>158</v>
      </c>
      <c r="D33" s="5">
        <v>125000</v>
      </c>
      <c r="E33" s="5">
        <v>125000</v>
      </c>
      <c r="F33" s="6">
        <v>3800</v>
      </c>
      <c r="G33" s="6">
        <v>3587.5</v>
      </c>
      <c r="K33" s="6">
        <v>17986.0625</v>
      </c>
      <c r="L33" s="5">
        <v>7387.5</v>
      </c>
      <c r="M33" s="6">
        <v>0</v>
      </c>
      <c r="N33" s="8"/>
      <c r="O33" s="8">
        <v>0</v>
      </c>
      <c r="P33" s="8"/>
      <c r="Q33" s="9">
        <v>0</v>
      </c>
      <c r="R33" s="5">
        <v>99626.4375</v>
      </c>
    </row>
    <row r="34" spans="1:18" x14ac:dyDescent="0.25">
      <c r="A34" s="1" t="s">
        <v>47</v>
      </c>
      <c r="B34" s="2" t="s">
        <v>93</v>
      </c>
      <c r="C34" s="4" t="s">
        <v>159</v>
      </c>
      <c r="D34" s="5">
        <v>58850</v>
      </c>
      <c r="E34" s="5">
        <v>58850</v>
      </c>
      <c r="F34" s="6">
        <v>1789.04</v>
      </c>
      <c r="G34" s="6">
        <v>1688.9949999999999</v>
      </c>
      <c r="K34" s="6">
        <v>3270.2429999999999</v>
      </c>
      <c r="L34" s="5">
        <v>3478.0349999999999</v>
      </c>
      <c r="M34" s="6">
        <v>0</v>
      </c>
      <c r="N34" s="8"/>
      <c r="O34" s="8">
        <v>0</v>
      </c>
      <c r="P34" s="8"/>
      <c r="Q34" s="9">
        <v>0</v>
      </c>
      <c r="R34" s="5">
        <v>52101.721999999994</v>
      </c>
    </row>
    <row r="35" spans="1:18" x14ac:dyDescent="0.25">
      <c r="A35" s="1" t="s">
        <v>48</v>
      </c>
      <c r="B35" s="2" t="s">
        <v>94</v>
      </c>
      <c r="C35" s="4" t="s">
        <v>160</v>
      </c>
      <c r="D35" s="5">
        <v>125000</v>
      </c>
      <c r="E35" s="5">
        <v>125000</v>
      </c>
      <c r="F35" s="6">
        <v>3800</v>
      </c>
      <c r="G35" s="6">
        <v>3587.5</v>
      </c>
      <c r="K35" s="6">
        <v>17986.0625</v>
      </c>
      <c r="L35" s="5">
        <v>7387.5</v>
      </c>
      <c r="M35" s="6">
        <v>0</v>
      </c>
      <c r="N35" s="8"/>
      <c r="O35" s="8">
        <v>0</v>
      </c>
      <c r="P35" s="8"/>
      <c r="Q35" s="9">
        <v>0</v>
      </c>
      <c r="R35" s="5">
        <v>99626.4375</v>
      </c>
    </row>
    <row r="36" spans="1:18" x14ac:dyDescent="0.25">
      <c r="A36" s="1" t="s">
        <v>49</v>
      </c>
      <c r="B36" s="2" t="s">
        <v>95</v>
      </c>
      <c r="C36" s="4" t="s">
        <v>161</v>
      </c>
      <c r="D36" s="5">
        <v>59740</v>
      </c>
      <c r="E36" s="5">
        <v>59740</v>
      </c>
      <c r="F36" s="6">
        <v>1816.096</v>
      </c>
      <c r="G36" s="6">
        <v>1714.538</v>
      </c>
      <c r="K36" s="6">
        <v>3437.7232000000013</v>
      </c>
      <c r="L36" s="5">
        <v>3530.634</v>
      </c>
      <c r="M36" s="6">
        <v>0</v>
      </c>
      <c r="N36" s="8"/>
      <c r="O36" s="8">
        <v>0</v>
      </c>
      <c r="P36" s="8"/>
      <c r="Q36" s="9">
        <v>0</v>
      </c>
      <c r="R36" s="5">
        <v>52771.642800000001</v>
      </c>
    </row>
    <row r="37" spans="1:18" x14ac:dyDescent="0.25">
      <c r="A37" s="1" t="s">
        <v>50</v>
      </c>
      <c r="B37" s="2" t="s">
        <v>96</v>
      </c>
      <c r="C37" s="4" t="s">
        <v>162</v>
      </c>
      <c r="D37" s="5">
        <v>56650</v>
      </c>
      <c r="E37" s="5">
        <v>56650</v>
      </c>
      <c r="F37" s="6">
        <v>1722.16</v>
      </c>
      <c r="G37" s="6">
        <v>1625.855</v>
      </c>
      <c r="K37" s="6">
        <v>2856.2469999999994</v>
      </c>
      <c r="L37" s="5">
        <v>3348.0150000000003</v>
      </c>
      <c r="M37" s="6">
        <v>0</v>
      </c>
      <c r="N37" s="8"/>
      <c r="O37" s="8">
        <v>0</v>
      </c>
      <c r="P37" s="8"/>
      <c r="Q37" s="9">
        <v>0</v>
      </c>
      <c r="R37" s="5">
        <v>50445.737999999998</v>
      </c>
    </row>
    <row r="38" spans="1:18" x14ac:dyDescent="0.25">
      <c r="A38" s="1" t="s">
        <v>51</v>
      </c>
      <c r="B38" s="2" t="s">
        <v>97</v>
      </c>
      <c r="C38" s="4" t="s">
        <v>163</v>
      </c>
      <c r="D38" s="5">
        <v>57000</v>
      </c>
      <c r="E38" s="5">
        <v>57000</v>
      </c>
      <c r="F38" s="6">
        <v>1732.8</v>
      </c>
      <c r="G38" s="6">
        <v>1635.9</v>
      </c>
      <c r="K38" s="6">
        <v>2922.1099999999997</v>
      </c>
      <c r="L38" s="5">
        <v>3368.7</v>
      </c>
      <c r="M38" s="6">
        <v>0</v>
      </c>
      <c r="N38" s="8"/>
      <c r="O38" s="8">
        <v>0</v>
      </c>
      <c r="P38" s="8"/>
      <c r="Q38" s="9">
        <v>0</v>
      </c>
      <c r="R38" s="5">
        <v>50709.19</v>
      </c>
    </row>
    <row r="39" spans="1:18" x14ac:dyDescent="0.25">
      <c r="A39" s="1" t="s">
        <v>52</v>
      </c>
      <c r="B39" s="2" t="s">
        <v>98</v>
      </c>
      <c r="C39" s="4" t="s">
        <v>164</v>
      </c>
      <c r="D39" s="5">
        <v>56000</v>
      </c>
      <c r="E39" s="5">
        <v>56000</v>
      </c>
      <c r="F39" s="6">
        <v>1702.4</v>
      </c>
      <c r="G39" s="6">
        <v>1607.2</v>
      </c>
      <c r="K39" s="6">
        <v>2733.9300000000007</v>
      </c>
      <c r="L39" s="5">
        <v>3309.6000000000004</v>
      </c>
      <c r="M39" s="6">
        <v>0</v>
      </c>
      <c r="N39" s="8"/>
      <c r="O39" s="8">
        <v>0</v>
      </c>
      <c r="P39" s="8"/>
      <c r="Q39" s="9">
        <v>0</v>
      </c>
      <c r="R39" s="5">
        <v>49956.47</v>
      </c>
    </row>
    <row r="40" spans="1:18" x14ac:dyDescent="0.25">
      <c r="A40" s="1" t="s">
        <v>53</v>
      </c>
      <c r="B40" s="2" t="s">
        <v>99</v>
      </c>
      <c r="C40" s="4" t="s">
        <v>165</v>
      </c>
      <c r="D40" s="5">
        <v>95000</v>
      </c>
      <c r="E40" s="5">
        <v>95000</v>
      </c>
      <c r="F40" s="6">
        <v>2888</v>
      </c>
      <c r="G40" s="6">
        <v>2726.5</v>
      </c>
      <c r="K40" s="6">
        <v>10929.3125</v>
      </c>
      <c r="L40" s="5">
        <v>5614.5</v>
      </c>
      <c r="M40" s="6">
        <v>0</v>
      </c>
      <c r="N40" s="8"/>
      <c r="O40" s="8">
        <v>0</v>
      </c>
      <c r="P40" s="8"/>
      <c r="Q40" s="9">
        <v>0</v>
      </c>
      <c r="R40" s="5">
        <v>78456.1875</v>
      </c>
    </row>
    <row r="41" spans="1:18" x14ac:dyDescent="0.25">
      <c r="A41" s="1" t="s">
        <v>54</v>
      </c>
      <c r="B41" s="2" t="s">
        <v>100</v>
      </c>
      <c r="C41" s="4" t="s">
        <v>166</v>
      </c>
      <c r="D41" s="5">
        <v>95000</v>
      </c>
      <c r="E41" s="5">
        <v>95000</v>
      </c>
      <c r="F41" s="6">
        <v>2888</v>
      </c>
      <c r="G41" s="6">
        <v>2726.5</v>
      </c>
      <c r="K41" s="6">
        <v>10929.3125</v>
      </c>
      <c r="L41" s="5">
        <v>5614.5</v>
      </c>
      <c r="M41" s="6">
        <v>0</v>
      </c>
      <c r="N41" s="8"/>
      <c r="O41" s="8">
        <v>0</v>
      </c>
      <c r="P41" s="8"/>
      <c r="Q41" s="9">
        <v>0</v>
      </c>
      <c r="R41" s="5">
        <v>78456.1875</v>
      </c>
    </row>
    <row r="42" spans="1:18" x14ac:dyDescent="0.25">
      <c r="A42" s="1" t="s">
        <v>55</v>
      </c>
      <c r="B42" s="2" t="s">
        <v>101</v>
      </c>
      <c r="C42" s="4" t="s">
        <v>167</v>
      </c>
      <c r="D42" s="5">
        <v>55000</v>
      </c>
      <c r="E42" s="5">
        <v>55000</v>
      </c>
      <c r="F42" s="6">
        <v>1672</v>
      </c>
      <c r="G42" s="6">
        <v>1578.5</v>
      </c>
      <c r="K42" s="6">
        <v>2559.6749999999997</v>
      </c>
      <c r="L42" s="5">
        <v>3250.5</v>
      </c>
      <c r="M42" s="6">
        <v>0</v>
      </c>
      <c r="N42" s="8"/>
      <c r="O42" s="8">
        <v>0</v>
      </c>
      <c r="P42" s="8"/>
      <c r="Q42" s="9">
        <v>0</v>
      </c>
      <c r="R42" s="5">
        <v>49189.824999999997</v>
      </c>
    </row>
    <row r="43" spans="1:18" x14ac:dyDescent="0.25">
      <c r="A43" s="1" t="s">
        <v>56</v>
      </c>
      <c r="B43" s="2" t="s">
        <v>102</v>
      </c>
      <c r="C43" s="4" t="s">
        <v>168</v>
      </c>
      <c r="D43" s="5">
        <v>55000</v>
      </c>
      <c r="E43" s="5">
        <v>55000</v>
      </c>
      <c r="F43" s="6">
        <v>1672</v>
      </c>
      <c r="G43" s="6">
        <v>1578.5</v>
      </c>
      <c r="K43" s="6">
        <v>2559.6749999999997</v>
      </c>
      <c r="L43" s="5">
        <v>3250.5</v>
      </c>
      <c r="M43" s="6">
        <v>0</v>
      </c>
      <c r="N43" s="8"/>
      <c r="O43" s="8">
        <v>0</v>
      </c>
      <c r="P43" s="8"/>
      <c r="Q43" s="9">
        <v>0</v>
      </c>
      <c r="R43" s="5">
        <v>49189.824999999997</v>
      </c>
    </row>
    <row r="44" spans="1:18" x14ac:dyDescent="0.25">
      <c r="A44" s="1" t="s">
        <v>57</v>
      </c>
      <c r="B44" s="2" t="s">
        <v>103</v>
      </c>
      <c r="C44" s="4" t="s">
        <v>169</v>
      </c>
      <c r="D44" s="5">
        <v>59000</v>
      </c>
      <c r="E44" s="5">
        <v>59000</v>
      </c>
      <c r="F44" s="6">
        <v>1793.6</v>
      </c>
      <c r="G44" s="6">
        <v>1693.3</v>
      </c>
      <c r="K44" s="6">
        <v>3298.4700000000003</v>
      </c>
      <c r="L44" s="5">
        <v>3486.8999999999996</v>
      </c>
      <c r="M44" s="6">
        <v>0</v>
      </c>
      <c r="N44" s="8"/>
      <c r="O44" s="8">
        <v>0</v>
      </c>
      <c r="P44" s="8"/>
      <c r="Q44" s="9">
        <v>0</v>
      </c>
      <c r="R44" s="5">
        <v>52214.63</v>
      </c>
    </row>
    <row r="45" spans="1:18" x14ac:dyDescent="0.25">
      <c r="A45" s="1" t="s">
        <v>58</v>
      </c>
      <c r="B45" s="2" t="s">
        <v>104</v>
      </c>
      <c r="C45" s="4" t="s">
        <v>170</v>
      </c>
      <c r="D45" s="5">
        <v>55000</v>
      </c>
      <c r="E45" s="5">
        <v>55000</v>
      </c>
      <c r="F45" s="6">
        <v>1672</v>
      </c>
      <c r="G45" s="6">
        <v>1578.5</v>
      </c>
      <c r="K45" s="6">
        <v>2559.6749999999997</v>
      </c>
      <c r="L45" s="5">
        <v>3250.5</v>
      </c>
      <c r="M45" s="6">
        <v>0</v>
      </c>
      <c r="N45" s="8"/>
      <c r="O45" s="8">
        <v>0</v>
      </c>
      <c r="P45" s="8"/>
      <c r="Q45" s="9">
        <v>0</v>
      </c>
      <c r="R45" s="5">
        <v>49189.824999999997</v>
      </c>
    </row>
    <row r="46" spans="1:18" x14ac:dyDescent="0.25">
      <c r="A46" s="1" t="s">
        <v>59</v>
      </c>
      <c r="B46" s="2" t="s">
        <v>105</v>
      </c>
      <c r="C46" s="4" t="s">
        <v>171</v>
      </c>
      <c r="D46" s="5">
        <v>55000</v>
      </c>
      <c r="E46" s="5">
        <v>55000</v>
      </c>
      <c r="F46" s="6">
        <v>1672</v>
      </c>
      <c r="G46" s="6">
        <v>1578.5</v>
      </c>
      <c r="K46" s="6">
        <v>2559.6749999999997</v>
      </c>
      <c r="L46" s="5">
        <v>3250.5</v>
      </c>
      <c r="M46" s="6">
        <v>0</v>
      </c>
      <c r="N46" s="8"/>
      <c r="O46" s="8">
        <v>0</v>
      </c>
      <c r="P46" s="8"/>
      <c r="Q46" s="9">
        <v>0</v>
      </c>
      <c r="R46" s="5">
        <v>49189.824999999997</v>
      </c>
    </row>
    <row r="47" spans="1:18" x14ac:dyDescent="0.25">
      <c r="A47" s="1" t="s">
        <v>60</v>
      </c>
      <c r="B47" s="2" t="s">
        <v>106</v>
      </c>
      <c r="C47" s="4" t="s">
        <v>172</v>
      </c>
      <c r="D47" s="5">
        <v>55000</v>
      </c>
      <c r="E47" s="5">
        <v>55000</v>
      </c>
      <c r="F47" s="6">
        <v>1672</v>
      </c>
      <c r="G47" s="6">
        <v>1578.5</v>
      </c>
      <c r="K47" s="6">
        <v>2559.6749999999997</v>
      </c>
      <c r="L47" s="5">
        <v>3250.5</v>
      </c>
      <c r="M47" s="6">
        <v>0</v>
      </c>
      <c r="N47" s="8"/>
      <c r="O47" s="8">
        <v>0</v>
      </c>
      <c r="P47" s="8"/>
      <c r="Q47" s="9">
        <v>0</v>
      </c>
      <c r="R47" s="5">
        <v>49189.824999999997</v>
      </c>
    </row>
    <row r="48" spans="1:18" x14ac:dyDescent="0.25">
      <c r="A48" s="1" t="s">
        <v>108</v>
      </c>
      <c r="B48" s="2" t="s">
        <v>107</v>
      </c>
      <c r="C48" s="4" t="s">
        <v>173</v>
      </c>
      <c r="D48" s="5">
        <v>59000</v>
      </c>
      <c r="E48" s="5">
        <v>59000</v>
      </c>
      <c r="F48" s="6">
        <v>1793.6</v>
      </c>
      <c r="G48" s="6">
        <v>1693.3</v>
      </c>
      <c r="K48" s="6">
        <v>3298.4700000000003</v>
      </c>
      <c r="L48" s="5">
        <v>3486.8999999999996</v>
      </c>
      <c r="M48" s="6">
        <v>0</v>
      </c>
      <c r="N48" s="8"/>
      <c r="O48" s="8">
        <v>0</v>
      </c>
      <c r="P48" s="8"/>
      <c r="Q48" s="9">
        <v>0</v>
      </c>
      <c r="R48" s="5">
        <v>52214.63</v>
      </c>
    </row>
    <row r="49" spans="1:18" x14ac:dyDescent="0.25">
      <c r="A49" s="1" t="s">
        <v>110</v>
      </c>
      <c r="B49" s="2" t="s">
        <v>109</v>
      </c>
      <c r="C49" s="4" t="s">
        <v>174</v>
      </c>
      <c r="D49" s="5">
        <v>55000</v>
      </c>
      <c r="E49" s="5">
        <v>55000</v>
      </c>
      <c r="F49" s="6">
        <v>1672</v>
      </c>
      <c r="G49" s="6">
        <v>1578.5</v>
      </c>
      <c r="K49" s="6">
        <v>2559.6749999999997</v>
      </c>
      <c r="L49" s="5">
        <v>3250.5</v>
      </c>
      <c r="M49" s="6">
        <v>0</v>
      </c>
      <c r="N49" s="8"/>
      <c r="O49" s="8">
        <v>0</v>
      </c>
      <c r="P49" s="8"/>
      <c r="Q49" s="9"/>
      <c r="R49" s="5">
        <v>49189.824999999997</v>
      </c>
    </row>
    <row r="50" spans="1:18" x14ac:dyDescent="0.25">
      <c r="A50" s="1" t="s">
        <v>112</v>
      </c>
      <c r="B50" s="2" t="s">
        <v>111</v>
      </c>
      <c r="C50" s="4" t="s">
        <v>175</v>
      </c>
      <c r="D50" s="5">
        <v>55000</v>
      </c>
      <c r="E50" s="5">
        <v>55000</v>
      </c>
      <c r="F50" s="6">
        <v>1672</v>
      </c>
      <c r="G50" s="6">
        <v>1578.5</v>
      </c>
      <c r="K50" s="6">
        <v>2559.6749999999997</v>
      </c>
      <c r="L50" s="5">
        <v>3250.5</v>
      </c>
      <c r="M50" s="6">
        <v>0</v>
      </c>
      <c r="N50" s="8"/>
      <c r="O50" s="8">
        <v>0</v>
      </c>
      <c r="P50" s="8"/>
      <c r="Q50" s="9"/>
      <c r="R50" s="5">
        <v>49189.824999999997</v>
      </c>
    </row>
    <row r="51" spans="1:18" x14ac:dyDescent="0.25">
      <c r="A51" s="1" t="s">
        <v>114</v>
      </c>
      <c r="B51" s="2" t="s">
        <v>113</v>
      </c>
      <c r="C51" s="4" t="s">
        <v>176</v>
      </c>
      <c r="D51" s="5">
        <v>55000</v>
      </c>
      <c r="E51" s="5">
        <v>55000</v>
      </c>
      <c r="F51" s="6">
        <v>1672</v>
      </c>
      <c r="G51" s="6">
        <v>1578.5</v>
      </c>
      <c r="K51" s="6">
        <v>2559.6749999999997</v>
      </c>
      <c r="L51" s="5">
        <v>3250.5</v>
      </c>
      <c r="M51" s="6"/>
      <c r="N51" s="8"/>
      <c r="O51" s="8">
        <v>0</v>
      </c>
      <c r="P51" s="8"/>
      <c r="Q51" s="9"/>
      <c r="R51" s="5">
        <v>49189.824999999997</v>
      </c>
    </row>
    <row r="52" spans="1:18" x14ac:dyDescent="0.25">
      <c r="A52" s="4" t="s">
        <v>116</v>
      </c>
      <c r="B52" s="2" t="s">
        <v>115</v>
      </c>
      <c r="C52" s="4" t="s">
        <v>177</v>
      </c>
      <c r="D52" s="5">
        <v>55000</v>
      </c>
      <c r="E52" s="5">
        <v>55000</v>
      </c>
      <c r="F52" s="6">
        <v>1672</v>
      </c>
      <c r="G52" s="6">
        <v>1578.5</v>
      </c>
      <c r="K52" s="6">
        <v>2559.6749999999997</v>
      </c>
      <c r="L52" s="5">
        <v>3250.5</v>
      </c>
      <c r="M52" s="6"/>
      <c r="N52" s="8"/>
      <c r="O52" s="8">
        <v>0</v>
      </c>
      <c r="P52" s="8"/>
      <c r="Q52" s="9"/>
      <c r="R52" s="5">
        <v>49189.824999999997</v>
      </c>
    </row>
    <row r="53" spans="1:18" x14ac:dyDescent="0.25">
      <c r="A53" s="4" t="s">
        <v>118</v>
      </c>
      <c r="B53" s="2" t="s">
        <v>117</v>
      </c>
      <c r="C53" s="4" t="s">
        <v>178</v>
      </c>
      <c r="D53" s="5">
        <v>56000</v>
      </c>
      <c r="E53" s="5">
        <v>56000</v>
      </c>
      <c r="F53" s="6">
        <v>1702.4</v>
      </c>
      <c r="G53" s="6">
        <v>1607.2</v>
      </c>
      <c r="K53" s="6">
        <v>2733.9300000000007</v>
      </c>
      <c r="L53" s="5">
        <v>3309.6000000000004</v>
      </c>
      <c r="M53" s="6"/>
      <c r="N53" s="8"/>
      <c r="O53" s="8">
        <v>0</v>
      </c>
      <c r="P53" s="8"/>
      <c r="Q53" s="9"/>
      <c r="R53" s="5">
        <v>49956.47</v>
      </c>
    </row>
    <row r="54" spans="1:18" x14ac:dyDescent="0.25">
      <c r="A54" s="4" t="s">
        <v>120</v>
      </c>
      <c r="B54" s="2" t="s">
        <v>119</v>
      </c>
      <c r="C54" s="4" t="s">
        <v>179</v>
      </c>
      <c r="D54" s="5">
        <v>56000</v>
      </c>
      <c r="E54" s="5">
        <v>56000</v>
      </c>
      <c r="F54" s="6">
        <v>1702.4</v>
      </c>
      <c r="G54" s="6">
        <v>1607.2</v>
      </c>
      <c r="K54" s="6">
        <v>2733.9300000000007</v>
      </c>
      <c r="L54" s="5">
        <v>3309.6000000000004</v>
      </c>
      <c r="M54" s="6"/>
      <c r="N54" s="8"/>
      <c r="O54" s="8">
        <v>0</v>
      </c>
      <c r="P54" s="8"/>
      <c r="Q54" s="9"/>
      <c r="R54" s="5">
        <v>49956.47</v>
      </c>
    </row>
    <row r="55" spans="1:18" x14ac:dyDescent="0.25">
      <c r="A55" s="4" t="s">
        <v>122</v>
      </c>
      <c r="B55" s="2" t="s">
        <v>121</v>
      </c>
      <c r="C55" s="4" t="s">
        <v>180</v>
      </c>
      <c r="D55" s="5">
        <v>55000</v>
      </c>
      <c r="E55" s="5">
        <v>55000</v>
      </c>
      <c r="F55" s="6">
        <v>1672</v>
      </c>
      <c r="G55" s="6">
        <v>1578.5</v>
      </c>
      <c r="K55" s="6">
        <v>2559.6749999999997</v>
      </c>
      <c r="L55" s="5">
        <v>3250.5</v>
      </c>
      <c r="M55" s="6"/>
      <c r="N55" s="8"/>
      <c r="O55" s="8">
        <v>0</v>
      </c>
      <c r="P55" s="8"/>
      <c r="Q55" s="9"/>
      <c r="R55" s="5">
        <v>49189.824999999997</v>
      </c>
    </row>
    <row r="56" spans="1:18" x14ac:dyDescent="0.25">
      <c r="A56" s="4" t="s">
        <v>124</v>
      </c>
      <c r="B56" s="2" t="s">
        <v>123</v>
      </c>
      <c r="C56" s="4" t="s">
        <v>181</v>
      </c>
      <c r="D56" s="5">
        <v>56000</v>
      </c>
      <c r="E56" s="5">
        <v>56000</v>
      </c>
      <c r="F56" s="6">
        <v>1702.4</v>
      </c>
      <c r="G56" s="6">
        <v>1607.2</v>
      </c>
      <c r="K56" s="6">
        <v>2733.9300000000007</v>
      </c>
      <c r="L56" s="5">
        <v>3309.6000000000004</v>
      </c>
      <c r="M56" s="6"/>
      <c r="N56" s="8"/>
      <c r="O56" s="8">
        <v>0</v>
      </c>
      <c r="P56" s="8"/>
      <c r="Q56" s="9"/>
      <c r="R56" s="5">
        <v>49956.47</v>
      </c>
    </row>
    <row r="58" spans="1:18" x14ac:dyDescent="0.25">
      <c r="D58" s="10">
        <f>SUM(D2:D57)</f>
        <v>5273000.6500000004</v>
      </c>
      <c r="E58" s="10">
        <f>SUM(E2:E57)</f>
        <v>5273000.6500000004</v>
      </c>
      <c r="F58" s="10">
        <f>SUM(F2:F57)</f>
        <v>160077.61896000002</v>
      </c>
      <c r="G58" s="10">
        <f>SUM(G2:G57)</f>
        <v>151335.11865500003</v>
      </c>
      <c r="K58" s="10">
        <f>SUM(K2:K56)</f>
        <v>660458.81268644356</v>
      </c>
      <c r="L58" s="10">
        <f>SUM(L2:L56)</f>
        <v>311412.73761499999</v>
      </c>
      <c r="O58" s="10">
        <f t="shared" ref="O58:P58" si="0">SUM(O2:O57)</f>
        <v>1919.32</v>
      </c>
      <c r="P58" s="10">
        <f t="shared" si="0"/>
        <v>92968.728520772143</v>
      </c>
      <c r="R58" s="10">
        <f>SUM(R2:R57)</f>
        <v>4396017.1482193302</v>
      </c>
    </row>
  </sheetData>
  <conditionalFormatting sqref="A2:A51">
    <cfRule type="duplicateValues" dxfId="12" priority="2"/>
    <cfRule type="expression" dxfId="11" priority="70">
      <formula>AND($Z2=$AY$3,NOT($AD$152=$AE$152))</formula>
    </cfRule>
    <cfRule type="expression" dxfId="10" priority="71">
      <formula>ISODD(ROW())</formula>
    </cfRule>
  </conditionalFormatting>
  <conditionalFormatting sqref="A52">
    <cfRule type="duplicateValues" dxfId="9" priority="1"/>
  </conditionalFormatting>
  <conditionalFormatting sqref="A53:A56">
    <cfRule type="duplicateValues" dxfId="8" priority="3"/>
  </conditionalFormatting>
  <conditionalFormatting sqref="B2:B56">
    <cfRule type="expression" dxfId="7" priority="61">
      <formula>AND($AA2=$AZ$3,NOT($AE$154=$AF$154))</formula>
    </cfRule>
    <cfRule type="expression" dxfId="6" priority="62">
      <formula>ISODD(ROW())</formula>
    </cfRule>
  </conditionalFormatting>
  <conditionalFormatting sqref="C2:C30">
    <cfRule type="duplicateValues" dxfId="5" priority="10"/>
  </conditionalFormatting>
  <conditionalFormatting sqref="C2:C56">
    <cfRule type="expression" dxfId="4" priority="63">
      <formula>AND($AF2=$AO$3,NOT($AJ$152=$AK$152))</formula>
    </cfRule>
    <cfRule type="expression" dxfId="3" priority="64">
      <formula>ISODD(ROW())</formula>
    </cfRule>
    <cfRule type="duplicateValues" dxfId="2" priority="65"/>
  </conditionalFormatting>
  <conditionalFormatting sqref="Q2:Q58">
    <cfRule type="expression" dxfId="1" priority="47">
      <formula>AND($AA2=$AZ$3,NOT($AE$156=$AF$156))</formula>
    </cfRule>
    <cfRule type="expression" dxfId="0" priority="48">
      <formula>ISODD(ROW())</formula>
    </cfRule>
  </conditionalFormatting>
  <pageMargins left="0.7" right="0.7" top="0.75" bottom="0.75" header="0.3" footer="0.3"/>
  <ignoredErrors>
    <ignoredError sqref="A1:D1 H2:J2 Q1:R1 F1:N1 C2:C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Volantes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ksantana</dc:creator>
  <cp:lastModifiedBy>Kenia Santana</cp:lastModifiedBy>
  <dcterms:created xsi:type="dcterms:W3CDTF">2026-02-19T20:48:43Z</dcterms:created>
  <dcterms:modified xsi:type="dcterms:W3CDTF">2026-06-22T21:28:02Z</dcterms:modified>
</cp:coreProperties>
</file>